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catbl\Desktop\"/>
    </mc:Choice>
  </mc:AlternateContent>
  <xr:revisionPtr revIDLastSave="0" documentId="8_{2AF7A15E-7CE2-481B-8045-CDC5B5F8AB61}" xr6:coauthVersionLast="45" xr6:coauthVersionMax="45" xr10:uidLastSave="{00000000-0000-0000-0000-000000000000}"/>
  <bookViews>
    <workbookView xWindow="4032" yWindow="3276" windowWidth="23040" windowHeight="12204" activeTab="2" xr2:uid="{00000000-000D-0000-FFFF-FFFF00000000}"/>
  </bookViews>
  <sheets>
    <sheet name="Лист1" sheetId="1" r:id="rId1"/>
    <sheet name="Лист2" sheetId="2" r:id="rId2"/>
    <sheet name="Лист3" sheetId="3" r:id="rId3"/>
  </sheets>
  <calcPr calcId="191029"/>
</workbook>
</file>

<file path=xl/calcChain.xml><?xml version="1.0" encoding="utf-8"?>
<calcChain xmlns="http://schemas.openxmlformats.org/spreadsheetml/2006/main">
  <c r="F13" i="3" l="1"/>
  <c r="AJ13" i="3"/>
  <c r="AJ16" i="3" l="1"/>
  <c r="F16" i="3"/>
  <c r="C4" i="3"/>
  <c r="AI16" i="3" s="1"/>
  <c r="T16" i="3" l="1"/>
  <c r="Z16" i="3"/>
  <c r="V16" i="3"/>
  <c r="AD16" i="3"/>
  <c r="M16" i="3"/>
  <c r="O16" i="3"/>
  <c r="AE16" i="3"/>
  <c r="X16" i="3"/>
  <c r="G12" i="3"/>
  <c r="H12" i="3" s="1"/>
  <c r="I12" i="3" s="1"/>
  <c r="J12" i="3" s="1"/>
  <c r="K12" i="3" s="1"/>
  <c r="L12" i="3" s="1"/>
  <c r="M12" i="3" s="1"/>
  <c r="N12" i="3" s="1"/>
  <c r="O12" i="3" s="1"/>
  <c r="P12" i="3" s="1"/>
  <c r="Q12" i="3" s="1"/>
  <c r="R12" i="3" s="1"/>
  <c r="S12" i="3" s="1"/>
  <c r="T12" i="3" s="1"/>
  <c r="U12" i="3" s="1"/>
  <c r="V12" i="3" s="1"/>
  <c r="W12" i="3" s="1"/>
  <c r="X12" i="3" s="1"/>
  <c r="Y12" i="3" s="1"/>
  <c r="Z12" i="3" s="1"/>
  <c r="AA12" i="3" s="1"/>
  <c r="AB12" i="3" s="1"/>
  <c r="AC12" i="3" s="1"/>
  <c r="AD12" i="3" s="1"/>
  <c r="AE12" i="3" s="1"/>
  <c r="AF12" i="3" s="1"/>
  <c r="AG12" i="3" s="1"/>
  <c r="AH12" i="3" s="1"/>
  <c r="AI12" i="3" s="1"/>
  <c r="AJ12" i="3" s="1"/>
  <c r="K16" i="3"/>
  <c r="AB16" i="3"/>
  <c r="P16" i="3"/>
  <c r="AF16" i="3"/>
  <c r="W16" i="3"/>
  <c r="Y16" i="3"/>
  <c r="AA16" i="3"/>
  <c r="AC16" i="3"/>
  <c r="Q16" i="3"/>
  <c r="AG16" i="3"/>
  <c r="H16" i="3"/>
  <c r="I16" i="3"/>
  <c r="J16" i="3"/>
  <c r="R16" i="3"/>
  <c r="AH16" i="3"/>
  <c r="U16" i="3"/>
  <c r="C5" i="3"/>
  <c r="L16" i="3"/>
  <c r="N16" i="3"/>
  <c r="S16" i="3"/>
  <c r="H16" i="2"/>
  <c r="I16" i="2"/>
  <c r="AJ13" i="2"/>
  <c r="C4" i="2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AJ13" i="1"/>
  <c r="F13" i="1"/>
  <c r="C4" i="1"/>
  <c r="C5" i="1" s="1"/>
  <c r="AJ15" i="3" l="1"/>
  <c r="F15" i="3"/>
  <c r="AF15" i="3"/>
  <c r="P15" i="3"/>
  <c r="Z15" i="3"/>
  <c r="X15" i="3"/>
  <c r="AE15" i="3"/>
  <c r="O15" i="3"/>
  <c r="AB15" i="3"/>
  <c r="AA15" i="3"/>
  <c r="J15" i="3"/>
  <c r="T15" i="3"/>
  <c r="Q15" i="3"/>
  <c r="AD15" i="3"/>
  <c r="N15" i="3"/>
  <c r="M15" i="3"/>
  <c r="L15" i="3"/>
  <c r="K15" i="3"/>
  <c r="I15" i="3"/>
  <c r="U15" i="3"/>
  <c r="S15" i="3"/>
  <c r="AC15" i="3"/>
  <c r="Y15" i="3"/>
  <c r="H15" i="3"/>
  <c r="W15" i="3"/>
  <c r="V15" i="3"/>
  <c r="AH15" i="3"/>
  <c r="R15" i="3"/>
  <c r="AG15" i="3"/>
  <c r="O15" i="1"/>
  <c r="T15" i="1"/>
  <c r="AG15" i="1"/>
  <c r="H15" i="1"/>
  <c r="P15" i="1"/>
  <c r="U15" i="1"/>
  <c r="AC15" i="1"/>
  <c r="Z15" i="1"/>
  <c r="AE15" i="1"/>
  <c r="K15" i="1"/>
  <c r="L15" i="1"/>
  <c r="Q15" i="1"/>
  <c r="AA15" i="1"/>
  <c r="AB15" i="1"/>
  <c r="W15" i="1"/>
  <c r="X15" i="1"/>
  <c r="AD15" i="1"/>
  <c r="R15" i="1"/>
  <c r="S15" i="1"/>
  <c r="V15" i="1"/>
  <c r="M15" i="1"/>
  <c r="N15" i="1"/>
  <c r="AF15" i="1"/>
  <c r="V16" i="2"/>
  <c r="P16" i="2"/>
  <c r="O16" i="2"/>
  <c r="X16" i="2"/>
  <c r="W16" i="2"/>
  <c r="U16" i="2"/>
  <c r="S16" i="2"/>
  <c r="Q16" i="2"/>
  <c r="N16" i="2"/>
  <c r="F13" i="2"/>
  <c r="G16" i="2" s="1"/>
  <c r="AF16" i="2"/>
  <c r="AE16" i="2"/>
  <c r="AD16" i="2"/>
  <c r="AC16" i="2"/>
  <c r="M16" i="2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R16" i="2"/>
  <c r="AB16" i="2"/>
  <c r="L16" i="2"/>
  <c r="Y16" i="2"/>
  <c r="T16" i="2"/>
  <c r="AG16" i="2"/>
  <c r="AA16" i="2"/>
  <c r="K16" i="2"/>
  <c r="AI15" i="1"/>
  <c r="AI16" i="2"/>
  <c r="AH16" i="2"/>
  <c r="Z16" i="2"/>
  <c r="J16" i="2"/>
  <c r="C5" i="2"/>
  <c r="I15" i="1"/>
  <c r="G15" i="1"/>
  <c r="AH15" i="1"/>
  <c r="J15" i="1"/>
  <c r="Y15" i="1"/>
  <c r="G15" i="2" l="1"/>
  <c r="AI15" i="2"/>
  <c r="AA15" i="2"/>
  <c r="S15" i="2"/>
  <c r="K15" i="2"/>
  <c r="AH15" i="2"/>
  <c r="Z15" i="2"/>
  <c r="R15" i="2"/>
  <c r="J15" i="2"/>
  <c r="AG15" i="2"/>
  <c r="Y15" i="2"/>
  <c r="Q15" i="2"/>
  <c r="I15" i="2"/>
  <c r="AF15" i="2"/>
  <c r="X15" i="2"/>
  <c r="P15" i="2"/>
  <c r="H15" i="2"/>
  <c r="AE15" i="2"/>
  <c r="W15" i="2"/>
  <c r="O15" i="2"/>
  <c r="AD15" i="2"/>
  <c r="V15" i="2"/>
  <c r="N15" i="2"/>
  <c r="AC15" i="2"/>
  <c r="U15" i="2"/>
  <c r="M15" i="2"/>
  <c r="T15" i="2"/>
  <c r="L15" i="2"/>
  <c r="AB15" i="2"/>
  <c r="G15" i="3"/>
  <c r="AI15" i="3"/>
  <c r="G16" i="3" l="1"/>
</calcChain>
</file>

<file path=xl/sharedStrings.xml><?xml version="1.0" encoding="utf-8"?>
<sst xmlns="http://schemas.openxmlformats.org/spreadsheetml/2006/main" count="41" uniqueCount="16">
  <si>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</si>
  <si>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</si>
  <si>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</si>
  <si>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</si>
  <si>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</si>
  <si>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</si>
  <si>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</si>
  <si>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</si>
  <si>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</si>
  <si>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</si>
  <si>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</si>
  <si>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q_start</t>
  </si>
  <si>
    <t>q</t>
  </si>
  <si>
    <t>alpha</t>
  </si>
  <si>
    <t>tj1</t>
  </si>
  <si>
    <t>tj2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</si>
</sst>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165" fontId="0" fillId="0" borderId="0" xfId="0" applyNumberFormat="1"/>
    <xf numFmtId="0" fontId="0" fillId="0" borderId="1" xfId="0" applyBorder="1"/>
    <xf numFmtId="164" fontId="0" fillId="0" borderId="1" xfId="0" applyNumberFormat="1" applyBorder="1"/>
    <xf numFmtId="165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Лист1!$F$11:$AJ$11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xVal>
          <c:y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BA-40E9-BE31-71EE99D7AEDB}"/>
            </c:ext>
          </c:extLst>
        </c:ser>
        <c:ser>
          <c:idx val="1"/>
          <c:order val="1"/>
          <c:marker>
            <c:symbol val="none"/>
          </c:marker>
          <c:xVal>
            <c:numRef>
              <c:f>Лист1!$F$11:$AJ$11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293.32310708172031</c:v>
                </c:pt>
                <c:pt idx="2">
                  <c:v>286.64621416344067</c:v>
                </c:pt>
                <c:pt idx="3">
                  <c:v>279.96976818142753</c:v>
                </c:pt>
                <c:pt idx="4">
                  <c:v>273.29332219941438</c:v>
                </c:pt>
                <c:pt idx="5">
                  <c:v>266.61775055667476</c:v>
                </c:pt>
                <c:pt idx="6">
                  <c:v>259.94217891393515</c:v>
                </c:pt>
                <c:pt idx="7">
                  <c:v>253.26787080065432</c:v>
                </c:pt>
                <c:pt idx="8">
                  <c:v>246.59356268737349</c:v>
                </c:pt>
                <c:pt idx="9">
                  <c:v>239.9208520714362</c:v>
                </c:pt>
                <c:pt idx="10">
                  <c:v>233.24814145549891</c:v>
                </c:pt>
                <c:pt idx="11">
                  <c:v>226.57729248649036</c:v>
                </c:pt>
                <c:pt idx="12">
                  <c:v>219.90644351748179</c:v>
                </c:pt>
                <c:pt idx="13">
                  <c:v>213.23763898208321</c:v>
                </c:pt>
                <c:pt idx="14">
                  <c:v>206.56883444668463</c:v>
                </c:pt>
                <c:pt idx="15">
                  <c:v>199.9021677800182</c:v>
                </c:pt>
                <c:pt idx="16">
                  <c:v>193.2355011133518</c:v>
                </c:pt>
                <c:pt idx="17">
                  <c:v>186.57097231541749</c:v>
                </c:pt>
                <c:pt idx="18">
                  <c:v>179.90644351748318</c:v>
                </c:pt>
                <c:pt idx="19">
                  <c:v>173.24395915315873</c:v>
                </c:pt>
                <c:pt idx="20">
                  <c:v>166.58147478883427</c:v>
                </c:pt>
                <c:pt idx="21">
                  <c:v>159.92085207143839</c:v>
                </c:pt>
                <c:pt idx="22">
                  <c:v>153.26022935404251</c:v>
                </c:pt>
                <c:pt idx="23">
                  <c:v>146.60120413398997</c:v>
                </c:pt>
                <c:pt idx="24">
                  <c:v>139.94217891393743</c:v>
                </c:pt>
                <c:pt idx="25">
                  <c:v>133.28441722334344</c:v>
                </c:pt>
                <c:pt idx="26">
                  <c:v>126.62665553274945</c:v>
                </c:pt>
                <c:pt idx="27">
                  <c:v>119.96976818142888</c:v>
                </c:pt>
                <c:pt idx="28">
                  <c:v>113.3128808301083</c:v>
                </c:pt>
                <c:pt idx="29">
                  <c:v>106.65644041505415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ABA-40E9-BE31-71EE99D7AE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98580832"/>
        <c:axId val="-1198577024"/>
      </c:scatterChart>
      <c:valAx>
        <c:axId val="-1198580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1198577024"/>
        <c:crosses val="autoZero"/>
        <c:crossBetween val="midCat"/>
      </c:valAx>
      <c:valAx>
        <c:axId val="-1198577024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-11985808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Лист2!$F$12:$AJ$12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Лист2!$F$13:$AJ$13</c:f>
              <c:numCache>
                <c:formatCode>General</c:formatCode>
                <c:ptCount val="31"/>
                <c:pt idx="0">
                  <c:v>299.99999696784454</c:v>
                </c:pt>
                <c:pt idx="1">
                  <c:v>293.33333030117785</c:v>
                </c:pt>
                <c:pt idx="2">
                  <c:v>286.66666364310612</c:v>
                </c:pt>
                <c:pt idx="3">
                  <c:v>279.99999699360507</c:v>
                </c:pt>
                <c:pt idx="4">
                  <c:v>273.33333035262592</c:v>
                </c:pt>
                <c:pt idx="5">
                  <c:v>266.66666372009598</c:v>
                </c:pt>
                <c:pt idx="6">
                  <c:v>259.99999709591827</c:v>
                </c:pt>
                <c:pt idx="7">
                  <c:v>253.33333047997269</c:v>
                </c:pt>
                <c:pt idx="8">
                  <c:v>246.66666387211509</c:v>
                </c:pt>
                <c:pt idx="9">
                  <c:v>239.99999727217909</c:v>
                </c:pt>
                <c:pt idx="10">
                  <c:v>233.33333067997529</c:v>
                </c:pt>
                <c:pt idx="11">
                  <c:v>226.66666409529279</c:v>
                </c:pt>
                <c:pt idx="12">
                  <c:v>219.99999751789906</c:v>
                </c:pt>
                <c:pt idx="13">
                  <c:v>213.33333094754121</c:v>
                </c:pt>
                <c:pt idx="14">
                  <c:v>206.66666438394606</c:v>
                </c:pt>
                <c:pt idx="15">
                  <c:v>199.99999782682161</c:v>
                </c:pt>
                <c:pt idx="16">
                  <c:v>193.33333127585718</c:v>
                </c:pt>
                <c:pt idx="17">
                  <c:v>186.66666473072499</c:v>
                </c:pt>
                <c:pt idx="18">
                  <c:v>179.99999819108029</c:v>
                </c:pt>
                <c:pt idx="19">
                  <c:v>173.33333165656336</c:v>
                </c:pt>
                <c:pt idx="20">
                  <c:v>166.66666512679922</c:v>
                </c:pt>
                <c:pt idx="21">
                  <c:v>159.99999860140019</c:v>
                </c:pt>
                <c:pt idx="22">
                  <c:v>153.33333207996549</c:v>
                </c:pt>
                <c:pt idx="23">
                  <c:v>146.66666556208372</c:v>
                </c:pt>
                <c:pt idx="24">
                  <c:v>139.99999904733289</c:v>
                </c:pt>
                <c:pt idx="25">
                  <c:v>133.33333253528261</c:v>
                </c:pt>
                <c:pt idx="26">
                  <c:v>126.66666602549439</c:v>
                </c:pt>
                <c:pt idx="27">
                  <c:v>119.99999951752375</c:v>
                </c:pt>
                <c:pt idx="28">
                  <c:v>113.33333301092067</c:v>
                </c:pt>
                <c:pt idx="29">
                  <c:v>106.66666650523155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36-40F1-B282-06A9F4216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98577568"/>
        <c:axId val="-1198569952"/>
      </c:scatterChart>
      <c:valAx>
        <c:axId val="-1198577568"/>
        <c:scaling>
          <c:orientation val="minMax"/>
        </c:scaling>
        <c:delete val="0"/>
        <c:axPos val="b"/>
        <c:numFmt formatCode="0.0000" sourceLinked="1"/>
        <c:majorTickMark val="out"/>
        <c:minorTickMark val="none"/>
        <c:tickLblPos val="nextTo"/>
        <c:crossAx val="-1198569952"/>
        <c:crosses val="autoZero"/>
        <c:crossBetween val="midCat"/>
      </c:valAx>
      <c:valAx>
        <c:axId val="-1198569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11985775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228600</xdr:colOff>
      <xdr:row>17</xdr:row>
      <xdr:rowOff>57150</xdr:rowOff>
    </xdr:from>
    <xdr:to>
      <xdr:col>25</xdr:col>
      <xdr:colOff>381000</xdr:colOff>
      <xdr:row>32</xdr:row>
      <xdr:rowOff>57150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15</xdr:col>
      <xdr:colOff>243840</xdr:colOff>
      <xdr:row>15</xdr:row>
      <xdr:rowOff>163830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7749540" y="290703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/>
                      </a:rPr>
                      <m:t>𝑻</m:t>
                    </m:r>
                    <m:r>
                      <a:rPr lang="en-US" sz="1100" b="1" i="1">
                        <a:latin typeface="Cambria Math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1" i="1">
                            <a:latin typeface="Cambria Math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7749540" y="290703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en-US" sz="1100" b="1" i="0">
                  <a:latin typeface="Cambria Math"/>
                </a:rPr>
                <a:t>𝑻,[𝑪]</a:t>
              </a:r>
              <a:endParaRPr lang="ru-RU" sz="1100" b="1"/>
            </a:p>
          </xdr:txBody>
        </xdr:sp>
      </mc:Fallback>
    </mc:AlternateContent>
    <xdr:clientData/>
  </xdr:oneCellAnchor>
  <xdr:oneCellAnchor>
    <xdr:from>
      <xdr:col>24</xdr:col>
      <xdr:colOff>38100</xdr:colOff>
      <xdr:row>30</xdr:row>
      <xdr:rowOff>57150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1521440" y="554355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/>
                      </a:rPr>
                      <m:t>𝑳</m:t>
                    </m:r>
                    <m:r>
                      <a:rPr lang="en-US" sz="1100" b="1" i="1">
                        <a:latin typeface="Cambria Math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1" i="1">
                            <a:latin typeface="Cambria Math"/>
                          </a:rPr>
                          <m:t>𝒎</m:t>
                        </m:r>
                      </m:e>
                    </m:d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11521440" y="554355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en-US" sz="1100" b="1" i="0">
                  <a:latin typeface="Cambria Math"/>
                </a:rPr>
                <a:t>𝑳,[𝒎]</a:t>
              </a:r>
              <a:endParaRPr lang="ru-RU" sz="11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556260</xdr:colOff>
      <xdr:row>18</xdr:row>
      <xdr:rowOff>64770</xdr:rowOff>
    </xdr:from>
    <xdr:to>
      <xdr:col>24</xdr:col>
      <xdr:colOff>251460</xdr:colOff>
      <xdr:row>33</xdr:row>
      <xdr:rowOff>64770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16</xdr:col>
      <xdr:colOff>548640</xdr:colOff>
      <xdr:row>16</xdr:row>
      <xdr:rowOff>156210</xdr:rowOff>
    </xdr:from>
    <xdr:ext cx="9144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0340340" y="308229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𝑻</m:t>
                    </m:r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10340340" y="3082290"/>
              <a:ext cx="9144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𝑻,[𝑪]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23</xdr:col>
      <xdr:colOff>60960</xdr:colOff>
      <xdr:row>30</xdr:row>
      <xdr:rowOff>148590</xdr:rowOff>
    </xdr:from>
    <xdr:ext cx="868680" cy="4367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119860" y="5634990"/>
              <a:ext cx="868680" cy="436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𝑳</m:t>
                    </m:r>
                    <m:r>
                      <a:rPr lang="en-US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𝒎</m:t>
                        </m:r>
                      </m:e>
                    </m:d>
                  </m:oMath>
                </m:oMathPara>
              </a14:m>
              <a:endParaRPr lang="ru-RU">
                <a:effectLst/>
              </a:endParaRPr>
            </a:p>
            <a:p>
              <a:endParaRPr lang="ru-RU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4119860" y="5634990"/>
              <a:ext cx="868680" cy="436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𝑳,[𝒎]</a:t>
              </a:r>
              <a:endParaRPr lang="ru-RU">
                <a:effectLst/>
              </a:endParaRPr>
            </a:p>
            <a:p>
              <a:endParaRPr lang="ru-RU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3:AJ15"/>
  <sheetViews>
    <sheetView topLeftCell="A7" workbookViewId="0">
      <selection activeCell="I22" sqref="I22"/>
    </sheetView>
  </sheetViews>
  <sheetFormatPr defaultRowHeight="14.4" x14ac:dyDescent="0.3"/>
  <cols>
    <col min="3" max="3" width="9.44140625" bestFit="1" customWidth="1"/>
    <col min="6" max="36" width="6.44140625" bestFit="1" customWidth="1"/>
  </cols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4">
        <f>C3/30</f>
        <v>3.3333333333333335E-3</v>
      </c>
    </row>
    <row r="5" spans="2:36" x14ac:dyDescent="0.3">
      <c r="B5" s="2" t="s">
        <v>2</v>
      </c>
      <c r="C5" s="4">
        <f>(C9*C8*C4^2)/(2*C10)</f>
        <v>0.4333333333333334</v>
      </c>
    </row>
    <row r="6" spans="2:36" x14ac:dyDescent="0.3">
      <c r="B6" s="2" t="s">
        <v>3</v>
      </c>
      <c r="C6" s="2">
        <v>500</v>
      </c>
      <c r="D6">
        <v>500.06666666666672</v>
      </c>
    </row>
    <row r="8" spans="2:36" x14ac:dyDescent="0.3">
      <c r="B8" s="2" t="s">
        <v>4</v>
      </c>
      <c r="C8" s="2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8</v>
      </c>
      <c r="C12" s="2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2" t="s">
        <v>9</v>
      </c>
      <c r="C13" s="2">
        <v>100</v>
      </c>
      <c r="E13" t="s">
        <v>7</v>
      </c>
      <c r="F13">
        <f>C12</f>
        <v>300</v>
      </c>
      <c r="G13">
        <v>293.32310708172031</v>
      </c>
      <c r="H13">
        <v>286.64621416344067</v>
      </c>
      <c r="I13">
        <v>279.96976818142753</v>
      </c>
      <c r="J13">
        <v>273.29332219941438</v>
      </c>
      <c r="K13">
        <v>266.61775055667476</v>
      </c>
      <c r="L13">
        <v>259.94217891393515</v>
      </c>
      <c r="M13">
        <v>253.26787080065432</v>
      </c>
      <c r="N13">
        <v>246.59356268737349</v>
      </c>
      <c r="O13">
        <v>239.9208520714362</v>
      </c>
      <c r="P13">
        <v>233.24814145549891</v>
      </c>
      <c r="Q13">
        <v>226.57729248649036</v>
      </c>
      <c r="R13">
        <v>219.90644351748179</v>
      </c>
      <c r="S13">
        <v>213.23763898208321</v>
      </c>
      <c r="T13">
        <v>206.56883444668463</v>
      </c>
      <c r="U13">
        <v>199.9021677800182</v>
      </c>
      <c r="V13">
        <v>193.2355011133518</v>
      </c>
      <c r="W13">
        <v>186.57097231541749</v>
      </c>
      <c r="X13">
        <v>179.90644351748318</v>
      </c>
      <c r="Y13">
        <v>173.24395915315873</v>
      </c>
      <c r="Z13">
        <v>166.58147478883427</v>
      </c>
      <c r="AA13">
        <v>159.92085207143839</v>
      </c>
      <c r="AB13">
        <v>153.26022935404251</v>
      </c>
      <c r="AC13">
        <v>146.60120413398997</v>
      </c>
      <c r="AD13">
        <v>139.94217891393743</v>
      </c>
      <c r="AE13">
        <v>133.28441722334344</v>
      </c>
      <c r="AF13">
        <v>126.62665553274945</v>
      </c>
      <c r="AG13">
        <v>119.96976818142888</v>
      </c>
      <c r="AH13">
        <v>113.3128808301083</v>
      </c>
      <c r="AI13">
        <v>106.65644041505415</v>
      </c>
      <c r="AJ13">
        <f>C13</f>
        <v>100</v>
      </c>
    </row>
    <row r="15" spans="2:36" x14ac:dyDescent="0.3">
      <c r="E15" t="s">
        <v>10</v>
      </c>
      <c r="G15">
        <f>G13+(($C$10*$C$5)/($C$9*$C$8))*((H13-2*G13+F13)/($C$4^2))</f>
        <v>293.32310708172031</v>
      </c>
      <c r="H15">
        <f t="shared" ref="H15:AI15" si="1">H13+(($C$10*$C$5)/($C$9*$C$8))*((I13-2*H13+G13)/($C$4^2))</f>
        <v>286.64643763157392</v>
      </c>
      <c r="I15">
        <f t="shared" si="1"/>
        <v>279.96976818142753</v>
      </c>
      <c r="J15">
        <f t="shared" si="1"/>
        <v>273.29375936905114</v>
      </c>
      <c r="K15">
        <f t="shared" si="1"/>
        <v>266.61775055667476</v>
      </c>
      <c r="L15">
        <f t="shared" si="1"/>
        <v>259.94281067866456</v>
      </c>
      <c r="M15">
        <f t="shared" si="1"/>
        <v>253.26787080065432</v>
      </c>
      <c r="N15">
        <f t="shared" si="1"/>
        <v>246.59436143604526</v>
      </c>
      <c r="O15">
        <f t="shared" si="1"/>
        <v>239.9208520714362</v>
      </c>
      <c r="P15">
        <f t="shared" si="1"/>
        <v>233.2490722789633</v>
      </c>
      <c r="Q15">
        <f t="shared" si="1"/>
        <v>226.57729248649036</v>
      </c>
      <c r="R15">
        <f t="shared" si="1"/>
        <v>219.9074657342868</v>
      </c>
      <c r="S15">
        <f t="shared" si="1"/>
        <v>213.23763898208321</v>
      </c>
      <c r="T15">
        <f t="shared" si="1"/>
        <v>206.56990338105072</v>
      </c>
      <c r="U15">
        <f t="shared" si="1"/>
        <v>199.9021677800182</v>
      </c>
      <c r="V15">
        <f t="shared" si="1"/>
        <v>193.23657004771786</v>
      </c>
      <c r="W15">
        <f t="shared" si="1"/>
        <v>186.57097231541749</v>
      </c>
      <c r="X15">
        <f t="shared" si="1"/>
        <v>179.90746573428811</v>
      </c>
      <c r="Y15">
        <f t="shared" si="1"/>
        <v>173.24395915315873</v>
      </c>
      <c r="Z15">
        <f t="shared" si="1"/>
        <v>166.58240561229854</v>
      </c>
      <c r="AA15">
        <f t="shared" si="1"/>
        <v>159.92085207143839</v>
      </c>
      <c r="AB15">
        <f t="shared" si="1"/>
        <v>153.26102810271419</v>
      </c>
      <c r="AC15">
        <f t="shared" si="1"/>
        <v>146.60120413398997</v>
      </c>
      <c r="AD15">
        <f t="shared" si="1"/>
        <v>139.94281067866672</v>
      </c>
      <c r="AE15">
        <f t="shared" si="1"/>
        <v>133.28441722334344</v>
      </c>
      <c r="AF15">
        <f t="shared" si="1"/>
        <v>126.62709270238616</v>
      </c>
      <c r="AG15">
        <f t="shared" si="1"/>
        <v>119.96976818142888</v>
      </c>
      <c r="AH15">
        <f t="shared" si="1"/>
        <v>113.31310429824151</v>
      </c>
      <c r="AI15">
        <f t="shared" si="1"/>
        <v>106.65644041505415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3:AJ16"/>
  <sheetViews>
    <sheetView workbookViewId="0">
      <selection activeCell="F13" sqref="F13"/>
    </sheetView>
  </sheetViews>
  <sheetFormatPr defaultRowHeight="14.4" x14ac:dyDescent="0.3"/>
  <cols>
    <col min="7" max="7" width="9.44140625" bestFit="1" customWidth="1"/>
  </cols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4">
        <f>C3/30</f>
        <v>3.3333333333333335E-3</v>
      </c>
    </row>
    <row r="5" spans="2:36" x14ac:dyDescent="0.3">
      <c r="B5" s="2" t="s">
        <v>2</v>
      </c>
      <c r="C5" s="4">
        <f>(C9*C8*C4^2)/(2*C10)</f>
        <v>0.4333333333333334</v>
      </c>
    </row>
    <row r="6" spans="2:36" x14ac:dyDescent="0.3">
      <c r="B6" s="2" t="s">
        <v>3</v>
      </c>
      <c r="C6" s="2">
        <v>10</v>
      </c>
      <c r="D6">
        <v>10.400000000000002</v>
      </c>
    </row>
    <row r="8" spans="2:36" x14ac:dyDescent="0.3">
      <c r="B8" s="2" t="s">
        <v>4</v>
      </c>
      <c r="C8" s="2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11</v>
      </c>
      <c r="C12" s="2">
        <v>92000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2" t="s">
        <v>9</v>
      </c>
      <c r="C13" s="2">
        <v>100</v>
      </c>
      <c r="E13" t="s">
        <v>7</v>
      </c>
      <c r="F13">
        <f>(F16/C10)*C4+G13</f>
        <v>299.99999696784454</v>
      </c>
      <c r="G13">
        <v>293.33333030117785</v>
      </c>
      <c r="H13">
        <v>286.66666364310612</v>
      </c>
      <c r="I13">
        <v>279.99999699360507</v>
      </c>
      <c r="J13">
        <v>273.33333035262592</v>
      </c>
      <c r="K13">
        <v>266.66666372009598</v>
      </c>
      <c r="L13">
        <v>259.99999709591827</v>
      </c>
      <c r="M13">
        <v>253.33333047997269</v>
      </c>
      <c r="N13">
        <v>246.66666387211509</v>
      </c>
      <c r="O13">
        <v>239.99999727217909</v>
      </c>
      <c r="P13">
        <v>233.33333067997529</v>
      </c>
      <c r="Q13">
        <v>226.66666409529279</v>
      </c>
      <c r="R13">
        <v>219.99999751789906</v>
      </c>
      <c r="S13">
        <v>213.33333094754121</v>
      </c>
      <c r="T13">
        <v>206.66666438394606</v>
      </c>
      <c r="U13">
        <v>199.99999782682161</v>
      </c>
      <c r="V13">
        <v>193.33333127585718</v>
      </c>
      <c r="W13">
        <v>186.66666473072499</v>
      </c>
      <c r="X13">
        <v>179.99999819108029</v>
      </c>
      <c r="Y13">
        <v>173.33333165656336</v>
      </c>
      <c r="Z13">
        <v>166.66666512679922</v>
      </c>
      <c r="AA13">
        <v>159.99999860140019</v>
      </c>
      <c r="AB13">
        <v>153.33333207996549</v>
      </c>
      <c r="AC13">
        <v>146.66666556208372</v>
      </c>
      <c r="AD13">
        <v>139.99999904733289</v>
      </c>
      <c r="AE13">
        <v>133.33333253528261</v>
      </c>
      <c r="AF13">
        <v>126.66666602549439</v>
      </c>
      <c r="AG13">
        <v>119.99999951752375</v>
      </c>
      <c r="AH13">
        <v>113.33333301092067</v>
      </c>
      <c r="AI13">
        <v>106.66666650523155</v>
      </c>
      <c r="AJ13">
        <f>C13</f>
        <v>100</v>
      </c>
    </row>
    <row r="15" spans="2:36" x14ac:dyDescent="0.3">
      <c r="E15" t="s">
        <v>10</v>
      </c>
      <c r="G15" s="1">
        <f>G13+(($C$10*$C$5)/($C$9*$C$8))*((H13-2*G13+F13)/($C$4^2))</f>
        <v>293.33333030547533</v>
      </c>
      <c r="H15">
        <f t="shared" ref="H15:AI15" si="1">H13+(($C$10*$C$5)/($C$9*$C$8))*((I13-2*H13+G13)/($C$4^2))</f>
        <v>286.66666364739149</v>
      </c>
      <c r="I15">
        <f t="shared" si="1"/>
        <v>279.99999699786599</v>
      </c>
      <c r="J15">
        <f t="shared" si="1"/>
        <v>273.33333035685052</v>
      </c>
      <c r="K15">
        <f t="shared" si="1"/>
        <v>266.6666637242721</v>
      </c>
      <c r="L15">
        <f t="shared" si="1"/>
        <v>259.99999710003431</v>
      </c>
      <c r="M15">
        <f t="shared" si="1"/>
        <v>253.3333304840167</v>
      </c>
      <c r="N15">
        <f t="shared" si="1"/>
        <v>246.66666387607589</v>
      </c>
      <c r="O15">
        <f t="shared" si="1"/>
        <v>239.99999727604518</v>
      </c>
      <c r="P15">
        <f t="shared" si="1"/>
        <v>233.33333068373594</v>
      </c>
      <c r="Q15">
        <f t="shared" si="1"/>
        <v>226.66666409893719</v>
      </c>
      <c r="R15">
        <f t="shared" si="1"/>
        <v>219.99999752141701</v>
      </c>
      <c r="S15">
        <f t="shared" si="1"/>
        <v>213.33333095092257</v>
      </c>
      <c r="T15">
        <f t="shared" si="1"/>
        <v>206.66666438718141</v>
      </c>
      <c r="U15">
        <f t="shared" si="1"/>
        <v>199.99999782990162</v>
      </c>
      <c r="V15">
        <f t="shared" si="1"/>
        <v>193.3333312787733</v>
      </c>
      <c r="W15">
        <f t="shared" si="1"/>
        <v>186.66666473346874</v>
      </c>
      <c r="X15">
        <f t="shared" si="1"/>
        <v>179.99999819364416</v>
      </c>
      <c r="Y15">
        <f t="shared" si="1"/>
        <v>173.33333165893976</v>
      </c>
      <c r="Z15">
        <f t="shared" si="1"/>
        <v>166.66666512898178</v>
      </c>
      <c r="AA15">
        <f t="shared" si="1"/>
        <v>159.99999860338235</v>
      </c>
      <c r="AB15">
        <f t="shared" si="1"/>
        <v>153.33333208174196</v>
      </c>
      <c r="AC15">
        <f t="shared" si="1"/>
        <v>146.66666556364919</v>
      </c>
      <c r="AD15">
        <f t="shared" si="1"/>
        <v>139.99999904868315</v>
      </c>
      <c r="AE15">
        <f t="shared" si="1"/>
        <v>133.33333253641365</v>
      </c>
      <c r="AF15">
        <f t="shared" si="1"/>
        <v>126.66666602640318</v>
      </c>
      <c r="AG15">
        <f t="shared" si="1"/>
        <v>119.99999951820753</v>
      </c>
      <c r="AH15">
        <f t="shared" si="1"/>
        <v>113.33333301137765</v>
      </c>
      <c r="AI15">
        <f t="shared" si="1"/>
        <v>106.66666650546034</v>
      </c>
    </row>
    <row r="16" spans="2:36" x14ac:dyDescent="0.3">
      <c r="E16" t="s">
        <v>12</v>
      </c>
      <c r="F16">
        <v>92000</v>
      </c>
      <c r="G16">
        <f>-$C$10*((G13-F13)/($C$4))</f>
        <v>92000.000000000247</v>
      </c>
      <c r="H16">
        <f t="shared" ref="H16:AI16" si="2">-$C$10*((H13-G13)/($C$4))</f>
        <v>91999.999881389915</v>
      </c>
      <c r="I16">
        <f t="shared" si="2"/>
        <v>91999.999763114523</v>
      </c>
      <c r="J16">
        <f t="shared" si="2"/>
        <v>91999.999645512187</v>
      </c>
      <c r="K16">
        <f t="shared" si="2"/>
        <v>91999.999528913148</v>
      </c>
      <c r="L16">
        <f t="shared" si="2"/>
        <v>91999.99941365236</v>
      </c>
      <c r="M16">
        <f t="shared" si="2"/>
        <v>91999.999300049094</v>
      </c>
      <c r="N16">
        <f t="shared" si="2"/>
        <v>91999.999188434784</v>
      </c>
      <c r="O16">
        <f t="shared" si="2"/>
        <v>91999.999079116897</v>
      </c>
      <c r="P16">
        <f t="shared" si="2"/>
        <v>91999.998972412373</v>
      </c>
      <c r="Q16">
        <f t="shared" si="2"/>
        <v>91999.998868618524</v>
      </c>
      <c r="R16">
        <f t="shared" si="2"/>
        <v>91999.998768033431</v>
      </c>
      <c r="S16">
        <f t="shared" si="2"/>
        <v>91999.998670938279</v>
      </c>
      <c r="T16">
        <f t="shared" si="2"/>
        <v>91999.998577613165</v>
      </c>
      <c r="U16">
        <f t="shared" si="2"/>
        <v>91999.998488317317</v>
      </c>
      <c r="V16">
        <f t="shared" si="2"/>
        <v>91999.998403309219</v>
      </c>
      <c r="W16">
        <f t="shared" si="2"/>
        <v>91999.998322824191</v>
      </c>
      <c r="X16">
        <f t="shared" si="2"/>
        <v>91999.998247096781</v>
      </c>
      <c r="Y16">
        <f t="shared" si="2"/>
        <v>91999.998176333698</v>
      </c>
      <c r="Z16">
        <f t="shared" si="2"/>
        <v>91999.99811074516</v>
      </c>
      <c r="AA16">
        <f t="shared" si="2"/>
        <v>91999.998050506503</v>
      </c>
      <c r="AB16">
        <f t="shared" si="2"/>
        <v>91999.997995798942</v>
      </c>
      <c r="AC16">
        <f t="shared" si="2"/>
        <v>91999.997946768344</v>
      </c>
      <c r="AD16">
        <f t="shared" si="2"/>
        <v>91999.997903561438</v>
      </c>
      <c r="AE16">
        <f t="shared" si="2"/>
        <v>91999.99786629391</v>
      </c>
      <c r="AF16">
        <f t="shared" si="2"/>
        <v>91999.99783507736</v>
      </c>
      <c r="AG16">
        <f t="shared" si="2"/>
        <v>91999.997809994908</v>
      </c>
      <c r="AH16">
        <f t="shared" si="2"/>
        <v>91999.997791122485</v>
      </c>
      <c r="AI16">
        <f t="shared" si="2"/>
        <v>91999.997778509874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3:AJ22"/>
  <sheetViews>
    <sheetView tabSelected="1" workbookViewId="0">
      <selection activeCell="G13" sqref="G13:AI13"/>
    </sheetView>
  </sheetViews>
  <sheetFormatPr defaultRowHeight="14.4" x14ac:dyDescent="0.3"/>
  <cols>
    <col min="6" max="6" width="9.88671875" bestFit="1" customWidth="1"/>
  </cols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4">
        <f>C3/30</f>
        <v>3.3333333333333335E-3</v>
      </c>
    </row>
    <row r="5" spans="2:36" x14ac:dyDescent="0.3">
      <c r="B5" s="2" t="s">
        <v>2</v>
      </c>
      <c r="C5" s="4">
        <f>(C9*C8*C4^2)/(2*C10)</f>
        <v>0.4333333333333334</v>
      </c>
    </row>
    <row r="6" spans="2:36" x14ac:dyDescent="0.3">
      <c r="B6" s="2" t="s">
        <v>3</v>
      </c>
      <c r="C6" s="2">
        <v>500</v>
      </c>
      <c r="D6">
        <v>500.06666666666672</v>
      </c>
    </row>
    <row r="8" spans="2:36" x14ac:dyDescent="0.3">
      <c r="B8" s="2" t="s">
        <v>4</v>
      </c>
      <c r="C8" s="2">
        <v>460</v>
      </c>
    </row>
    <row r="9" spans="2:36" x14ac:dyDescent="0.3">
      <c r="B9" s="2" t="s">
        <v>5</v>
      </c>
      <c r="C9" s="2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11</v>
      </c>
      <c r="C12" s="2">
        <v>92000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2" t="s">
        <v>9</v>
      </c>
      <c r="C13" s="2">
        <v>100</v>
      </c>
      <c r="E13" t="s">
        <v>7</v>
      </c>
      <c r="F13">
        <f>(C21*C4*C15+G13*C10)/(C10+C15*C4)</f>
        <v>199.13765714259634</v>
      </c>
      <c r="G13">
        <v>198.40989503079416</v>
      </c>
      <c r="H13">
        <v>197.69071403894083</v>
      </c>
      <c r="I13">
        <v>196.98014325470211</v>
      </c>
      <c r="J13">
        <v>196.27820902643475</v>
      </c>
      <c r="K13">
        <v>195.58493662820757</v>
      </c>
      <c r="L13">
        <v>194.90034777121809</v>
      </c>
      <c r="M13">
        <v>194.2244638625167</v>
      </c>
      <c r="N13">
        <v>193.55730199211496</v>
      </c>
      <c r="O13">
        <v>192.89887963280418</v>
      </c>
      <c r="P13">
        <v>192.24920929034249</v>
      </c>
      <c r="Q13">
        <v>191.60830442443194</v>
      </c>
      <c r="R13">
        <v>190.97617301192338</v>
      </c>
      <c r="S13">
        <v>190.35282441197188</v>
      </c>
      <c r="T13">
        <v>189.73826214306661</v>
      </c>
      <c r="U13">
        <v>189.13249137128926</v>
      </c>
      <c r="V13">
        <v>188.53551123878034</v>
      </c>
      <c r="W13">
        <v>187.94732262494128</v>
      </c>
      <c r="X13">
        <v>187.36792038496915</v>
      </c>
      <c r="Y13">
        <v>186.79730102113052</v>
      </c>
      <c r="Z13">
        <v>186.23545519424925</v>
      </c>
      <c r="AA13">
        <v>185.68237494643279</v>
      </c>
      <c r="AB13">
        <v>185.13804683568509</v>
      </c>
      <c r="AC13">
        <v>184.60245837248533</v>
      </c>
      <c r="AD13">
        <v>184.07559209861256</v>
      </c>
      <c r="AE13">
        <v>183.55743093678046</v>
      </c>
      <c r="AF13">
        <v>183.04795349066387</v>
      </c>
      <c r="AG13">
        <v>182.54713805765846</v>
      </c>
      <c r="AH13">
        <v>182.05495937005261</v>
      </c>
      <c r="AI13">
        <v>181.57139108353246</v>
      </c>
      <c r="AJ13">
        <f>(AI13*C10+C22*C4*C15)/(C15*C4+C10)</f>
        <v>181.0964041121118</v>
      </c>
    </row>
    <row r="15" spans="2:36" x14ac:dyDescent="0.3">
      <c r="B15" t="s">
        <v>13</v>
      </c>
      <c r="C15">
        <v>50</v>
      </c>
      <c r="E15" t="s">
        <v>10</v>
      </c>
      <c r="F15" s="1">
        <f>F13+(($C$10*$C$5)/($C$9*$C$8))*((G13-F13)/($C$4^2))</f>
        <v>198.77377608669525</v>
      </c>
      <c r="G15" s="1">
        <f>G13+(($C$10*$C$5)/($C$9*$C$8))*((H13-2*G13+F13)/($C$4^2))</f>
        <v>198.41418559076857</v>
      </c>
      <c r="H15">
        <f t="shared" ref="H15:AI15" si="1">H13+(($C$10*$C$5)/($C$9*$C$8))*((I13-2*H13+G13)/($C$4^2))</f>
        <v>197.69501914274815</v>
      </c>
      <c r="I15">
        <f t="shared" si="1"/>
        <v>196.98446153268779</v>
      </c>
      <c r="J15">
        <f t="shared" si="1"/>
        <v>196.28253994145484</v>
      </c>
      <c r="K15">
        <f t="shared" si="1"/>
        <v>195.58927839882642</v>
      </c>
      <c r="L15">
        <f t="shared" si="1"/>
        <v>194.90470024536214</v>
      </c>
      <c r="M15">
        <f t="shared" si="1"/>
        <v>194.22882488166653</v>
      </c>
      <c r="N15">
        <f t="shared" si="1"/>
        <v>193.56167174766045</v>
      </c>
      <c r="O15">
        <f t="shared" si="1"/>
        <v>192.90325564122872</v>
      </c>
      <c r="P15">
        <f t="shared" si="1"/>
        <v>192.25359202861807</v>
      </c>
      <c r="Q15">
        <f t="shared" si="1"/>
        <v>191.61269115113294</v>
      </c>
      <c r="R15">
        <f t="shared" si="1"/>
        <v>190.98056441820191</v>
      </c>
      <c r="S15">
        <f t="shared" si="1"/>
        <v>190.35721757749499</v>
      </c>
      <c r="T15">
        <f t="shared" si="1"/>
        <v>189.74265789163059</v>
      </c>
      <c r="U15">
        <f t="shared" si="1"/>
        <v>189.13688669092346</v>
      </c>
      <c r="V15">
        <f t="shared" si="1"/>
        <v>188.53990699811527</v>
      </c>
      <c r="W15">
        <f t="shared" si="1"/>
        <v>187.95171581187475</v>
      </c>
      <c r="X15">
        <f t="shared" si="1"/>
        <v>187.37231182303589</v>
      </c>
      <c r="Y15">
        <f t="shared" si="1"/>
        <v>186.80168778960922</v>
      </c>
      <c r="Z15">
        <f t="shared" si="1"/>
        <v>186.23983798378165</v>
      </c>
      <c r="AA15">
        <f t="shared" si="1"/>
        <v>185.68675101496717</v>
      </c>
      <c r="AB15">
        <f t="shared" si="1"/>
        <v>185.14241665945906</v>
      </c>
      <c r="AC15">
        <f t="shared" si="1"/>
        <v>184.60681946714882</v>
      </c>
      <c r="AD15">
        <f t="shared" si="1"/>
        <v>184.0799446546329</v>
      </c>
      <c r="AE15">
        <f t="shared" si="1"/>
        <v>183.56177279463822</v>
      </c>
      <c r="AF15">
        <f t="shared" si="1"/>
        <v>183.05228449721946</v>
      </c>
      <c r="AG15">
        <f t="shared" si="1"/>
        <v>182.55145643035826</v>
      </c>
      <c r="AH15">
        <f t="shared" si="1"/>
        <v>182.05926457059547</v>
      </c>
      <c r="AI15">
        <f t="shared" si="1"/>
        <v>181.57568174108221</v>
      </c>
      <c r="AJ15">
        <f>AJ13+(($C$10*$C$5)/($C$9*$C$8))*((AK13-2*AJ13+AI13)/($C$4^2))</f>
        <v>90.785695541766231</v>
      </c>
    </row>
    <row r="16" spans="2:36" x14ac:dyDescent="0.3">
      <c r="E16" t="s">
        <v>12</v>
      </c>
      <c r="F16">
        <f>C15*(C21-F13)</f>
        <v>10043.117142870184</v>
      </c>
      <c r="G16">
        <f>-$C$10*((G13-F13)/($C$4))</f>
        <v>10043.117142870062</v>
      </c>
      <c r="H16">
        <f t="shared" ref="H16:AI16" si="2">-$C$10*((H13-G13)/($C$4))</f>
        <v>9924.6976875760247</v>
      </c>
      <c r="I16">
        <f t="shared" si="2"/>
        <v>9805.8768224942251</v>
      </c>
      <c r="J16">
        <f t="shared" si="2"/>
        <v>9686.6923500895955</v>
      </c>
      <c r="K16">
        <f t="shared" si="2"/>
        <v>9567.1590955350784</v>
      </c>
      <c r="L16">
        <f t="shared" si="2"/>
        <v>9447.3262264547993</v>
      </c>
      <c r="M16">
        <f t="shared" si="2"/>
        <v>9327.197940079237</v>
      </c>
      <c r="N16">
        <f t="shared" si="2"/>
        <v>9206.8338115440383</v>
      </c>
      <c r="O16">
        <f t="shared" si="2"/>
        <v>9086.2285584887159</v>
      </c>
      <c r="P16">
        <f t="shared" si="2"/>
        <v>8965.4507259713173</v>
      </c>
      <c r="Q16">
        <f t="shared" si="2"/>
        <v>8844.4871495656807</v>
      </c>
      <c r="R16">
        <f t="shared" si="2"/>
        <v>8723.4134926180777</v>
      </c>
      <c r="S16">
        <f t="shared" si="2"/>
        <v>8602.2106793306757</v>
      </c>
      <c r="T16">
        <f t="shared" si="2"/>
        <v>8480.9593108927857</v>
      </c>
      <c r="U16">
        <f t="shared" si="2"/>
        <v>8359.6366505273472</v>
      </c>
      <c r="V16">
        <f t="shared" si="2"/>
        <v>8238.3258286230666</v>
      </c>
      <c r="W16">
        <f t="shared" si="2"/>
        <v>8117.002870979104</v>
      </c>
      <c r="X16">
        <f t="shared" si="2"/>
        <v>7995.7509116153342</v>
      </c>
      <c r="Y16">
        <f t="shared" si="2"/>
        <v>7874.5472209731079</v>
      </c>
      <c r="Z16">
        <f t="shared" si="2"/>
        <v>7753.4724109614899</v>
      </c>
      <c r="AA16">
        <f t="shared" si="2"/>
        <v>7632.5074198672501</v>
      </c>
      <c r="AB16">
        <f t="shared" si="2"/>
        <v>7511.7279283182488</v>
      </c>
      <c r="AC16">
        <f t="shared" si="2"/>
        <v>7391.1207921566638</v>
      </c>
      <c r="AD16">
        <f t="shared" si="2"/>
        <v>7270.754579444224</v>
      </c>
      <c r="AE16">
        <f t="shared" si="2"/>
        <v>7150.6240332829402</v>
      </c>
      <c r="AF16">
        <f t="shared" si="2"/>
        <v>7030.7887564089579</v>
      </c>
      <c r="AG16">
        <f t="shared" si="2"/>
        <v>6911.2529754747129</v>
      </c>
      <c r="AH16">
        <f t="shared" si="2"/>
        <v>6792.0658889606384</v>
      </c>
      <c r="AI16">
        <f t="shared" si="2"/>
        <v>6673.2423539781166</v>
      </c>
      <c r="AJ16">
        <f>C15*(C22-AJ13)</f>
        <v>-6554.8202056055898</v>
      </c>
    </row>
    <row r="21" spans="2:3" x14ac:dyDescent="0.3">
      <c r="B21" t="s">
        <v>14</v>
      </c>
      <c r="C21">
        <v>400</v>
      </c>
    </row>
    <row r="22" spans="2:3" x14ac:dyDescent="0.3">
      <c r="B22" t="s">
        <v>15</v>
      </c>
      <c r="C22">
        <v>50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Я</dc:creator>
  <cp:lastModifiedBy>Зиляк Влад</cp:lastModifiedBy>
  <dcterms:created xsi:type="dcterms:W3CDTF">2021-03-03T11:09:41Z</dcterms:created>
  <dcterms:modified xsi:type="dcterms:W3CDTF">2021-03-03T19:29:38Z</dcterms:modified>
</cp:coreProperties>
</file>